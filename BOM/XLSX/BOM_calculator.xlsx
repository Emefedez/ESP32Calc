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Board1_Main_2026-05-18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<sst xmlns="http://schemas.openxmlformats.org/spreadsheetml/2006/main" count="137" uniqueCount="112">
  <si>
    <t xml:space="preserve">No.</t>
  </si>
  <si>
    <t xml:space="preserve">Quantity</t>
  </si>
  <si>
    <t xml:space="preserve">Comment</t>
  </si>
  <si>
    <t xml:space="preserve">Designator</t>
  </si>
  <si>
    <t xml:space="preserve">Footprint</t>
  </si>
  <si>
    <t xml:space="preserve">Value</t>
  </si>
  <si>
    <t xml:space="preserve">Manufacturer Part</t>
  </si>
  <si>
    <t xml:space="preserve">Manufacturer</t>
  </si>
  <si>
    <t xml:space="preserve">Supplier Part</t>
  </si>
  <si>
    <t xml:space="preserve">Supplier</t>
  </si>
  <si>
    <t xml:space="preserve">JLCPCB Unit Price</t>
  </si>
  <si>
    <t xml:space="preserve">JLCPCB Price</t>
  </si>
  <si>
    <t xml:space="preserve">JLCPCB Stock</t>
  </si>
  <si>
    <t xml:space="preserve">1</t>
  </si>
  <si>
    <t xml:space="preserve">100uF</t>
  </si>
  <si>
    <t xml:space="preserve">C1,C2,C5</t>
  </si>
  <si>
    <t xml:space="preserve">C1206</t>
  </si>
  <si>
    <t xml:space="preserve">GRM31CR60J107ME39L</t>
  </si>
  <si>
    <r>
      <rPr>
        <sz val="11"/>
        <color theme="1"/>
        <rFont val="Calibri"/>
        <family val="2"/>
        <charset val="1"/>
      </rPr>
      <t xml:space="preserve">muRata(</t>
    </r>
    <r>
      <rPr>
        <sz val="11"/>
        <color theme="1"/>
        <rFont val="Arial Unicode MS"/>
        <family val="2"/>
        <charset val="1"/>
      </rPr>
      <t xml:space="preserve">村田</t>
    </r>
    <r>
      <rPr>
        <sz val="11"/>
        <color theme="1"/>
        <rFont val="Calibri"/>
        <family val="2"/>
        <charset val="1"/>
      </rPr>
      <t xml:space="preserve">)</t>
    </r>
  </si>
  <si>
    <t xml:space="preserve">C77085</t>
  </si>
  <si>
    <t xml:space="preserve">LCSC</t>
  </si>
  <si>
    <t xml:space="preserve">42714</t>
  </si>
  <si>
    <t xml:space="preserve">2</t>
  </si>
  <si>
    <t xml:space="preserve">22uF</t>
  </si>
  <si>
    <t xml:space="preserve">C3</t>
  </si>
  <si>
    <t xml:space="preserve">C0603</t>
  </si>
  <si>
    <t xml:space="preserve">CL10A226MP8NUNE</t>
  </si>
  <si>
    <r>
      <rPr>
        <sz val="11"/>
        <color theme="1"/>
        <rFont val="Calibri"/>
        <family val="2"/>
        <charset val="1"/>
      </rPr>
      <t xml:space="preserve">SAMSUNG(</t>
    </r>
    <r>
      <rPr>
        <sz val="11"/>
        <color theme="1"/>
        <rFont val="Arial Unicode MS"/>
        <family val="2"/>
        <charset val="1"/>
      </rPr>
      <t xml:space="preserve">三星</t>
    </r>
    <r>
      <rPr>
        <sz val="11"/>
        <color theme="1"/>
        <rFont val="Calibri"/>
        <family val="2"/>
        <charset val="1"/>
      </rPr>
      <t xml:space="preserve">)</t>
    </r>
  </si>
  <si>
    <t xml:space="preserve">C86295</t>
  </si>
  <si>
    <t xml:space="preserve">8697</t>
  </si>
  <si>
    <t xml:space="preserve">3</t>
  </si>
  <si>
    <t xml:space="preserve">1uF</t>
  </si>
  <si>
    <t xml:space="preserve">C4</t>
  </si>
  <si>
    <t xml:space="preserve">CL10B105KA8NNNC</t>
  </si>
  <si>
    <t xml:space="preserve">C29936</t>
  </si>
  <si>
    <t xml:space="preserve">2742739</t>
  </si>
  <si>
    <t xml:space="preserve">4</t>
  </si>
  <si>
    <t xml:space="preserve">BAS321,115</t>
  </si>
  <si>
    <t xml:space="preserve">D1,D2,D3,D4,D5,D6,D7,D8,D9,D10,D11,D12,D13,D14,D15,D16,D17,D18,D19,D20,D21,D22,D23,D24,D25,D26,D27,D28,D29,D30,D31,D32,D33,D34,D35,D36,D37,D38,D39,D40,D41,D42,D43,D44,D45,D46,D47,D48,D49,D50</t>
  </si>
  <si>
    <t xml:space="preserve">SOD-323_L1.8-W1.3-LS2.5-RD</t>
  </si>
  <si>
    <r>
      <rPr>
        <sz val="11"/>
        <color theme="1"/>
        <rFont val="Calibri"/>
        <family val="2"/>
        <charset val="1"/>
      </rPr>
      <t xml:space="preserve">Nexperia(</t>
    </r>
    <r>
      <rPr>
        <sz val="11"/>
        <color theme="1"/>
        <rFont val="Arial Unicode MS"/>
        <family val="2"/>
        <charset val="1"/>
      </rPr>
      <t xml:space="preserve">安世</t>
    </r>
    <r>
      <rPr>
        <sz val="11"/>
        <color theme="1"/>
        <rFont val="Calibri"/>
        <family val="2"/>
        <charset val="1"/>
      </rPr>
      <t xml:space="preserve">)</t>
    </r>
  </si>
  <si>
    <t xml:space="preserve">C24372</t>
  </si>
  <si>
    <t xml:space="preserve">90588</t>
  </si>
  <si>
    <t xml:space="preserve">5</t>
  </si>
  <si>
    <t xml:space="preserve">PZ2.54-2X4P-H25</t>
  </si>
  <si>
    <t xml:space="preserve">H3</t>
  </si>
  <si>
    <t xml:space="preserve">HDR-TH_8P-P2.54-V-M-R2-C4-S2.54_PZ254V-22-XX-A31-1120</t>
  </si>
  <si>
    <r>
      <rPr>
        <sz val="11"/>
        <color theme="1"/>
        <rFont val="Calibri"/>
        <family val="2"/>
        <charset val="1"/>
      </rPr>
      <t xml:space="preserve">JXTCONN(</t>
    </r>
    <r>
      <rPr>
        <sz val="11"/>
        <color theme="1"/>
        <rFont val="Arial Unicode MS"/>
        <family val="2"/>
        <charset val="1"/>
      </rPr>
      <t xml:space="preserve">聚兴泰</t>
    </r>
    <r>
      <rPr>
        <sz val="11"/>
        <color theme="1"/>
        <rFont val="Calibri"/>
        <family val="2"/>
        <charset val="1"/>
      </rPr>
      <t xml:space="preserve">)</t>
    </r>
  </si>
  <si>
    <t xml:space="preserve">C42431809</t>
  </si>
  <si>
    <t xml:space="preserve">4744</t>
  </si>
  <si>
    <t xml:space="preserve">6</t>
  </si>
  <si>
    <t xml:space="preserve">HX FH254-01-06-W-H8.5</t>
  </si>
  <si>
    <t xml:space="preserve">H4</t>
  </si>
  <si>
    <t xml:space="preserve">HDR-TH_6P-P2.54-H-F-W10.2</t>
  </si>
  <si>
    <r>
      <rPr>
        <sz val="11"/>
        <color theme="1"/>
        <rFont val="Calibri"/>
        <family val="2"/>
        <charset val="1"/>
      </rPr>
      <t xml:space="preserve">hanxia(</t>
    </r>
    <r>
      <rPr>
        <sz val="11"/>
        <color theme="1"/>
        <rFont val="Arial Unicode MS"/>
        <family val="2"/>
        <charset val="1"/>
      </rPr>
      <t xml:space="preserve">韩下</t>
    </r>
    <r>
      <rPr>
        <sz val="11"/>
        <color theme="1"/>
        <rFont val="Calibri"/>
        <family val="2"/>
        <charset val="1"/>
      </rPr>
      <t xml:space="preserve">)</t>
    </r>
  </si>
  <si>
    <t xml:space="preserve">C50878477</t>
  </si>
  <si>
    <t xml:space="preserve">7</t>
  </si>
  <si>
    <t xml:space="preserve">Custom Power PCB</t>
  </si>
  <si>
    <t xml:space="preserve">P1</t>
  </si>
  <si>
    <t xml:space="preserve">ESP32-3.3V and sense</t>
  </si>
  <si>
    <t xml:space="preserve">XXXXXXXXXXXX</t>
  </si>
  <si>
    <t xml:space="preserve">Ordered by user</t>
  </si>
  <si>
    <t xml:space="preserve">Aliexpress</t>
  </si>
  <si>
    <t xml:space="preserve">8</t>
  </si>
  <si>
    <t xml:space="preserve">2.13in Epaper Display</t>
  </si>
  <si>
    <t xml:space="preserve">PAPER1</t>
  </si>
  <si>
    <t xml:space="preserve">WEACT_2_9_E_PAPER</t>
  </si>
  <si>
    <t xml:space="preserve">WeAct</t>
  </si>
  <si>
    <t xml:space="preserve">YRD0290BBS800F6HP-M7</t>
  </si>
  <si>
    <t xml:space="preserve">Waveshare</t>
  </si>
  <si>
    <t xml:space="preserve">0</t>
  </si>
  <si>
    <t xml:space="preserve">9</t>
  </si>
  <si>
    <t xml:space="preserve">BC847</t>
  </si>
  <si>
    <t xml:space="preserve">Q1,Q2</t>
  </si>
  <si>
    <t xml:space="preserve">SOT-23-3_L2.9-W1.3-P1.90-LS2.4-BR</t>
  </si>
  <si>
    <r>
      <rPr>
        <sz val="11"/>
        <color theme="1"/>
        <rFont val="Calibri"/>
        <family val="2"/>
        <charset val="1"/>
      </rPr>
      <t xml:space="preserve">SHIKUES(</t>
    </r>
    <r>
      <rPr>
        <sz val="11"/>
        <color theme="1"/>
        <rFont val="Arial Unicode MS"/>
        <family val="2"/>
        <charset val="1"/>
      </rPr>
      <t xml:space="preserve">时科</t>
    </r>
    <r>
      <rPr>
        <sz val="11"/>
        <color theme="1"/>
        <rFont val="Calibri"/>
        <family val="2"/>
        <charset val="1"/>
      </rPr>
      <t xml:space="preserve">)</t>
    </r>
  </si>
  <si>
    <t xml:space="preserve">C475630</t>
  </si>
  <si>
    <t xml:space="preserve">50985</t>
  </si>
  <si>
    <t xml:space="preserve">10</t>
  </si>
  <si>
    <t xml:space="preserve">10kΩ</t>
  </si>
  <si>
    <t xml:space="preserve">R11,R12,R13,R14,R15,R16,R17,R18,R19</t>
  </si>
  <si>
    <t xml:space="preserve">R0603</t>
  </si>
  <si>
    <t xml:space="preserve">RC0603FR-0710KL</t>
  </si>
  <si>
    <r>
      <rPr>
        <sz val="11"/>
        <color theme="1"/>
        <rFont val="Calibri"/>
        <family val="2"/>
        <charset val="1"/>
      </rPr>
      <t xml:space="preserve">YAGEO(</t>
    </r>
    <r>
      <rPr>
        <sz val="11"/>
        <color theme="1"/>
        <rFont val="Arial Unicode MS"/>
        <family val="2"/>
        <charset val="1"/>
      </rPr>
      <t xml:space="preserve">国巨</t>
    </r>
    <r>
      <rPr>
        <sz val="11"/>
        <color theme="1"/>
        <rFont val="Calibri"/>
        <family val="2"/>
        <charset val="1"/>
      </rPr>
      <t xml:space="preserve">)</t>
    </r>
  </si>
  <si>
    <t xml:space="preserve">C98220</t>
  </si>
  <si>
    <t xml:space="preserve">49</t>
  </si>
  <si>
    <t xml:space="preserve">11</t>
  </si>
  <si>
    <t xml:space="preserve">GT-TZ084B-H015-L1</t>
  </si>
  <si>
    <t xml:space="preserve">SW1,SW2,SW3,SW4,SW5,SW6,SW7,SW8,SW9,SW10,SW11,SW12,SW13,SW14,SW15,SW16,SW17,SW18,SW19,SW20,SW21,SW22,SW23,SW24,SW25,SW26,SW27,SW28,SW29,SW30,SW31,SW32,SW33,SW34,SW35,SW36,SW37,SW38,SW39,SW40,SW41,SW42,SW43,SW44,SW45,SW46,SW47,SW48,SW49,SW50</t>
  </si>
  <si>
    <t xml:space="preserve">SW-SMD_4P-L5.2-W5.2-P3.70-LS6.4</t>
  </si>
  <si>
    <r>
      <rPr>
        <sz val="11"/>
        <color theme="1"/>
        <rFont val="Calibri"/>
        <family val="2"/>
        <charset val="1"/>
      </rPr>
      <t xml:space="preserve">G-Switch(</t>
    </r>
    <r>
      <rPr>
        <sz val="11"/>
        <color theme="1"/>
        <rFont val="Arial Unicode MS"/>
        <family val="2"/>
        <charset val="1"/>
      </rPr>
      <t xml:space="preserve">品赞</t>
    </r>
    <r>
      <rPr>
        <sz val="11"/>
        <color theme="1"/>
        <rFont val="Calibri"/>
        <family val="2"/>
        <charset val="1"/>
      </rPr>
      <t xml:space="preserve">)</t>
    </r>
  </si>
  <si>
    <t xml:space="preserve">C29780122</t>
  </si>
  <si>
    <t xml:space="preserve">177811</t>
  </si>
  <si>
    <t xml:space="preserve">12</t>
  </si>
  <si>
    <t xml:space="preserve">A-MicroTF-1.85A</t>
  </si>
  <si>
    <t xml:space="preserve">U2</t>
  </si>
  <si>
    <t xml:space="preserve">TF-SMD_A-MICROTF-1.85A</t>
  </si>
  <si>
    <r>
      <rPr>
        <sz val="11"/>
        <color theme="1"/>
        <rFont val="Calibri"/>
        <family val="2"/>
        <charset val="1"/>
      </rPr>
      <t xml:space="preserve">MyAntenna(</t>
    </r>
    <r>
      <rPr>
        <sz val="11"/>
        <color theme="1"/>
        <rFont val="Arial Unicode MS"/>
        <family val="2"/>
        <charset val="1"/>
      </rPr>
      <t xml:space="preserve">摩天射频</t>
    </r>
    <r>
      <rPr>
        <sz val="11"/>
        <color theme="1"/>
        <rFont val="Calibri"/>
        <family val="2"/>
        <charset val="1"/>
      </rPr>
      <t xml:space="preserve">)</t>
    </r>
  </si>
  <si>
    <t xml:space="preserve">C22467599</t>
  </si>
  <si>
    <t xml:space="preserve">1534</t>
  </si>
  <si>
    <t xml:space="preserve">13</t>
  </si>
  <si>
    <t xml:space="preserve">2.4GHz</t>
  </si>
  <si>
    <t xml:space="preserve">U5</t>
  </si>
  <si>
    <t xml:space="preserve">WIRELM-SMD_ESP32-S3-WROOM-1</t>
  </si>
  <si>
    <t xml:space="preserve">ESP32-S3-WROOM-1-N16R8</t>
  </si>
  <si>
    <r>
      <rPr>
        <sz val="11"/>
        <color theme="1"/>
        <rFont val="Calibri"/>
        <family val="2"/>
        <charset val="1"/>
      </rPr>
      <t xml:space="preserve">ESPRESSIF(</t>
    </r>
    <r>
      <rPr>
        <sz val="11"/>
        <color theme="1"/>
        <rFont val="Arial Unicode MS"/>
        <family val="2"/>
        <charset val="1"/>
      </rPr>
      <t xml:space="preserve">乐鑫</t>
    </r>
    <r>
      <rPr>
        <sz val="11"/>
        <color theme="1"/>
        <rFont val="Calibri"/>
        <family val="2"/>
        <charset val="1"/>
      </rPr>
      <t xml:space="preserve">)</t>
    </r>
  </si>
  <si>
    <t xml:space="preserve">C2913202</t>
  </si>
  <si>
    <t xml:space="preserve">27666</t>
  </si>
  <si>
    <t xml:space="preserve">FTDI FT232RL CH340N</t>
  </si>
  <si>
    <t xml:space="preserve">Not on Board</t>
  </si>
  <si>
    <t xml:space="preserve">FT232RL CH340N</t>
  </si>
  <si>
    <t xml:space="preserve">Aitver Electronics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</si>
</sst>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0\ [$€-C0A];\-#,##0.0000\ [$€-C0A]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color theme="1"/>
      <name val="Avenir Next"/>
      <family val="0"/>
      <charset val="1"/>
    </font>
    <font>
      <sz val="11"/>
      <color theme="1"/>
      <name val="Arial Unicode MS"/>
      <family val="2"/>
      <charset val="1"/>
    </font>
    <font>
      <sz val="10.5"/>
      <color theme="1"/>
      <name val="Avenir Next"/>
      <family val="0"/>
      <charset val="1"/>
    </font>
    <font>
      <sz val="10"/>
      <color theme="1"/>
      <name val="Avenir Next"/>
      <family val="0"/>
      <charset val="1"/>
    </font>
    <font>
      <i val="true"/>
      <sz val="11"/>
      <color theme="1"/>
      <name val="Avenir Next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G10" activeCellId="0" sqref="A1:M15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6.47"/>
    <col collapsed="false" customWidth="true" hidden="false" outlineLevel="0" max="2" min="2" style="1" width="10.01"/>
    <col collapsed="false" customWidth="true" hidden="false" outlineLevel="0" max="3" min="3" style="1" width="19.1"/>
    <col collapsed="false" customWidth="true" hidden="false" outlineLevel="0" max="4" min="4" style="1" width="31.58"/>
    <col collapsed="false" customWidth="true" hidden="false" outlineLevel="0" max="9" min="5" style="1" width="20"/>
    <col collapsed="false" customWidth="true" hidden="false" outlineLevel="0" max="10" min="10" style="1" width="12.32"/>
    <col collapsed="false" customWidth="true" hidden="false" outlineLevel="0" max="11" min="11" style="1" width="14.17"/>
    <col collapsed="false" customWidth="true" hidden="false" outlineLevel="0" max="12" min="12" style="1" width="14.02"/>
    <col collapsed="false" customWidth="true" hidden="false" outlineLevel="0" max="13" min="13" style="0" width="10.16"/>
  </cols>
  <sheetData>
    <row r="1" customFormat="false" ht="28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33.2" hidden="false" customHeight="false" outlineLevel="0" collapsed="false">
      <c r="A2" s="3" t="s">
        <v>13</v>
      </c>
      <c r="B2" s="4" t="n">
        <v>3</v>
      </c>
      <c r="C2" s="5" t="s">
        <v>14</v>
      </c>
      <c r="D2" s="5" t="s">
        <v>15</v>
      </c>
      <c r="E2" s="5" t="s">
        <v>16</v>
      </c>
      <c r="F2" s="5" t="s">
        <v>14</v>
      </c>
      <c r="G2" s="5" t="s">
        <v>17</v>
      </c>
      <c r="H2" s="6" t="s">
        <v>18</v>
      </c>
      <c r="I2" s="5" t="s">
        <v>19</v>
      </c>
      <c r="J2" s="5" t="s">
        <v>20</v>
      </c>
      <c r="K2" s="7" t="n">
        <v>0.0171</v>
      </c>
      <c r="L2" s="7" t="n">
        <f aca="false">K2*B2</f>
        <v>0.0513</v>
      </c>
      <c r="M2" s="5" t="s">
        <v>21</v>
      </c>
    </row>
    <row r="3" customFormat="false" ht="33.2" hidden="false" customHeight="false" outlineLevel="0" collapsed="false">
      <c r="A3" s="3" t="s">
        <v>22</v>
      </c>
      <c r="B3" s="4" t="n">
        <v>1</v>
      </c>
      <c r="C3" s="5" t="s">
        <v>23</v>
      </c>
      <c r="D3" s="5" t="s">
        <v>24</v>
      </c>
      <c r="E3" s="5" t="s">
        <v>25</v>
      </c>
      <c r="F3" s="5" t="s">
        <v>23</v>
      </c>
      <c r="G3" s="5" t="s">
        <v>26</v>
      </c>
      <c r="H3" s="6" t="s">
        <v>27</v>
      </c>
      <c r="I3" s="5" t="s">
        <v>28</v>
      </c>
      <c r="J3" s="5" t="s">
        <v>20</v>
      </c>
      <c r="K3" s="7" t="n">
        <v>0.0024</v>
      </c>
      <c r="L3" s="7" t="n">
        <f aca="false">K3*B3</f>
        <v>0.0024</v>
      </c>
      <c r="M3" s="5" t="s">
        <v>29</v>
      </c>
    </row>
    <row r="4" customFormat="false" ht="33.2" hidden="false" customHeight="false" outlineLevel="0" collapsed="false">
      <c r="A4" s="3" t="s">
        <v>30</v>
      </c>
      <c r="B4" s="4" t="n">
        <v>1</v>
      </c>
      <c r="C4" s="5" t="s">
        <v>31</v>
      </c>
      <c r="D4" s="5" t="s">
        <v>32</v>
      </c>
      <c r="E4" s="5" t="s">
        <v>25</v>
      </c>
      <c r="F4" s="5" t="s">
        <v>31</v>
      </c>
      <c r="G4" s="5" t="s">
        <v>33</v>
      </c>
      <c r="H4" s="6" t="s">
        <v>27</v>
      </c>
      <c r="I4" s="5" t="s">
        <v>34</v>
      </c>
      <c r="J4" s="5" t="s">
        <v>20</v>
      </c>
      <c r="K4" s="7" t="n">
        <v>0.0011</v>
      </c>
      <c r="L4" s="7" t="n">
        <f aca="false">K4*B4</f>
        <v>0.0011</v>
      </c>
      <c r="M4" s="5" t="s">
        <v>35</v>
      </c>
    </row>
    <row r="5" customFormat="false" ht="71.65" hidden="false" customHeight="true" outlineLevel="0" collapsed="false">
      <c r="A5" s="3" t="s">
        <v>36</v>
      </c>
      <c r="B5" s="4" t="n">
        <v>50</v>
      </c>
      <c r="C5" s="5" t="s">
        <v>37</v>
      </c>
      <c r="D5" s="5" t="s">
        <v>38</v>
      </c>
      <c r="E5" s="5" t="s">
        <v>39</v>
      </c>
      <c r="F5" s="6"/>
      <c r="G5" s="5" t="s">
        <v>37</v>
      </c>
      <c r="H5" s="6" t="s">
        <v>40</v>
      </c>
      <c r="I5" s="5" t="s">
        <v>41</v>
      </c>
      <c r="J5" s="5" t="s">
        <v>20</v>
      </c>
      <c r="K5" s="7" t="n">
        <v>0.0031</v>
      </c>
      <c r="L5" s="7" t="n">
        <f aca="false">K5*B5</f>
        <v>0.155</v>
      </c>
      <c r="M5" s="5" t="s">
        <v>42</v>
      </c>
    </row>
    <row r="6" customFormat="false" ht="64.65" hidden="false" customHeight="false" outlineLevel="0" collapsed="false">
      <c r="A6" s="3" t="s">
        <v>43</v>
      </c>
      <c r="B6" s="4" t="n">
        <v>1</v>
      </c>
      <c r="C6" s="5" t="s">
        <v>44</v>
      </c>
      <c r="D6" s="5" t="s">
        <v>45</v>
      </c>
      <c r="E6" s="5" t="s">
        <v>46</v>
      </c>
      <c r="F6" s="6"/>
      <c r="G6" s="5" t="s">
        <v>44</v>
      </c>
      <c r="H6" s="6" t="s">
        <v>47</v>
      </c>
      <c r="I6" s="5" t="s">
        <v>48</v>
      </c>
      <c r="J6" s="5" t="s">
        <v>20</v>
      </c>
      <c r="K6" s="7" t="n">
        <v>0.0058</v>
      </c>
      <c r="L6" s="7" t="n">
        <f aca="false">K6*B6</f>
        <v>0.0058</v>
      </c>
      <c r="M6" s="5" t="s">
        <v>49</v>
      </c>
    </row>
    <row r="7" customFormat="false" ht="33.2" hidden="false" customHeight="false" outlineLevel="0" collapsed="false">
      <c r="A7" s="3" t="s">
        <v>50</v>
      </c>
      <c r="B7" s="4" t="n">
        <v>1</v>
      </c>
      <c r="C7" s="5" t="s">
        <v>51</v>
      </c>
      <c r="D7" s="5" t="s">
        <v>52</v>
      </c>
      <c r="E7" s="5" t="s">
        <v>53</v>
      </c>
      <c r="F7" s="6"/>
      <c r="G7" s="5" t="s">
        <v>51</v>
      </c>
      <c r="H7" s="6" t="s">
        <v>54</v>
      </c>
      <c r="I7" s="5" t="s">
        <v>55</v>
      </c>
      <c r="J7" s="5" t="s">
        <v>20</v>
      </c>
      <c r="K7" s="7" t="n">
        <v>0.0213</v>
      </c>
      <c r="L7" s="7" t="n">
        <f aca="false">K7*B7</f>
        <v>0.0213</v>
      </c>
      <c r="M7" s="5" t="s">
        <v>43</v>
      </c>
    </row>
    <row r="8" customFormat="false" ht="33.2" hidden="false" customHeight="false" outlineLevel="0" collapsed="false">
      <c r="A8" s="3" t="s">
        <v>56</v>
      </c>
      <c r="B8" s="4" t="n">
        <v>1</v>
      </c>
      <c r="C8" s="5" t="s">
        <v>57</v>
      </c>
      <c r="D8" s="5" t="s">
        <v>58</v>
      </c>
      <c r="E8" s="5" t="s">
        <v>59</v>
      </c>
      <c r="F8" s="6"/>
      <c r="G8" s="5" t="s">
        <v>60</v>
      </c>
      <c r="H8" s="5" t="s">
        <v>61</v>
      </c>
      <c r="I8" s="6"/>
      <c r="J8" s="5" t="s">
        <v>62</v>
      </c>
      <c r="K8" s="7" t="n">
        <v>8.5</v>
      </c>
      <c r="L8" s="7" t="n">
        <f aca="false">K8*B8</f>
        <v>8.5</v>
      </c>
      <c r="M8" s="6" t="n">
        <v>0</v>
      </c>
    </row>
    <row r="9" customFormat="false" ht="33.2" hidden="false" customHeight="false" outlineLevel="0" collapsed="false">
      <c r="A9" s="3" t="s">
        <v>63</v>
      </c>
      <c r="B9" s="4" t="n">
        <v>1</v>
      </c>
      <c r="C9" s="5" t="s">
        <v>64</v>
      </c>
      <c r="D9" s="5" t="s">
        <v>65</v>
      </c>
      <c r="E9" s="5" t="s">
        <v>66</v>
      </c>
      <c r="F9" s="6"/>
      <c r="G9" s="6"/>
      <c r="H9" s="5" t="s">
        <v>67</v>
      </c>
      <c r="I9" s="5" t="s">
        <v>68</v>
      </c>
      <c r="J9" s="5" t="s">
        <v>69</v>
      </c>
      <c r="K9" s="7" t="n">
        <v>5</v>
      </c>
      <c r="L9" s="7" t="n">
        <f aca="false">K9*B9</f>
        <v>5</v>
      </c>
      <c r="M9" s="5" t="s">
        <v>70</v>
      </c>
    </row>
    <row r="10" customFormat="false" ht="33.2" hidden="false" customHeight="false" outlineLevel="0" collapsed="false">
      <c r="A10" s="3" t="s">
        <v>71</v>
      </c>
      <c r="B10" s="4" t="n">
        <v>2</v>
      </c>
      <c r="C10" s="5" t="s">
        <v>72</v>
      </c>
      <c r="D10" s="5" t="s">
        <v>73</v>
      </c>
      <c r="E10" s="5" t="s">
        <v>74</v>
      </c>
      <c r="F10" s="6"/>
      <c r="G10" s="5" t="s">
        <v>72</v>
      </c>
      <c r="H10" s="6" t="s">
        <v>75</v>
      </c>
      <c r="I10" s="5" t="s">
        <v>76</v>
      </c>
      <c r="J10" s="5" t="s">
        <v>20</v>
      </c>
      <c r="K10" s="7" t="n">
        <v>0.0021</v>
      </c>
      <c r="L10" s="7" t="n">
        <f aca="false">K10*B10</f>
        <v>0.0042</v>
      </c>
      <c r="M10" s="5" t="s">
        <v>77</v>
      </c>
    </row>
    <row r="11" customFormat="false" ht="38.45" hidden="false" customHeight="true" outlineLevel="0" collapsed="false">
      <c r="A11" s="3" t="s">
        <v>78</v>
      </c>
      <c r="B11" s="4" t="n">
        <v>9</v>
      </c>
      <c r="C11" s="5" t="s">
        <v>79</v>
      </c>
      <c r="D11" s="8" t="s">
        <v>80</v>
      </c>
      <c r="E11" s="5" t="s">
        <v>81</v>
      </c>
      <c r="F11" s="5" t="s">
        <v>79</v>
      </c>
      <c r="G11" s="5" t="s">
        <v>82</v>
      </c>
      <c r="H11" s="6" t="s">
        <v>83</v>
      </c>
      <c r="I11" s="5" t="s">
        <v>84</v>
      </c>
      <c r="J11" s="5" t="s">
        <v>20</v>
      </c>
      <c r="K11" s="7" t="n">
        <v>0.0003</v>
      </c>
      <c r="L11" s="7" t="n">
        <f aca="false">K11*B11</f>
        <v>0.0027</v>
      </c>
      <c r="M11" s="5" t="s">
        <v>85</v>
      </c>
    </row>
    <row r="12" customFormat="false" ht="106.6" hidden="false" customHeight="false" outlineLevel="0" collapsed="false">
      <c r="A12" s="3" t="s">
        <v>86</v>
      </c>
      <c r="B12" s="4" t="n">
        <v>50</v>
      </c>
      <c r="C12" s="5" t="s">
        <v>87</v>
      </c>
      <c r="D12" s="9" t="s">
        <v>88</v>
      </c>
      <c r="E12" s="5" t="s">
        <v>89</v>
      </c>
      <c r="F12" s="6"/>
      <c r="G12" s="5" t="s">
        <v>87</v>
      </c>
      <c r="H12" s="6" t="s">
        <v>90</v>
      </c>
      <c r="I12" s="5" t="s">
        <v>91</v>
      </c>
      <c r="J12" s="5" t="s">
        <v>20</v>
      </c>
      <c r="K12" s="7" t="n">
        <v>0.002</v>
      </c>
      <c r="L12" s="7" t="n">
        <f aca="false">K12*B12</f>
        <v>0.1</v>
      </c>
      <c r="M12" s="5" t="s">
        <v>92</v>
      </c>
    </row>
    <row r="13" customFormat="false" ht="29.7" hidden="false" customHeight="false" outlineLevel="0" collapsed="false">
      <c r="A13" s="3" t="s">
        <v>93</v>
      </c>
      <c r="B13" s="4" t="n">
        <v>1</v>
      </c>
      <c r="C13" s="5" t="s">
        <v>94</v>
      </c>
      <c r="D13" s="5" t="s">
        <v>95</v>
      </c>
      <c r="E13" s="8" t="s">
        <v>96</v>
      </c>
      <c r="F13" s="6"/>
      <c r="G13" s="5" t="s">
        <v>94</v>
      </c>
      <c r="H13" s="6" t="s">
        <v>97</v>
      </c>
      <c r="I13" s="5" t="s">
        <v>98</v>
      </c>
      <c r="J13" s="5" t="s">
        <v>20</v>
      </c>
      <c r="K13" s="7" t="n">
        <v>0.0414</v>
      </c>
      <c r="L13" s="7" t="n">
        <f aca="false">K13*B13</f>
        <v>0.0414</v>
      </c>
      <c r="M13" s="5" t="s">
        <v>99</v>
      </c>
    </row>
    <row r="14" customFormat="false" ht="33.2" hidden="false" customHeight="false" outlineLevel="0" collapsed="false">
      <c r="A14" s="3" t="s">
        <v>100</v>
      </c>
      <c r="B14" s="4" t="n">
        <v>1</v>
      </c>
      <c r="C14" s="5" t="s">
        <v>101</v>
      </c>
      <c r="D14" s="5" t="s">
        <v>102</v>
      </c>
      <c r="E14" s="8" t="s">
        <v>103</v>
      </c>
      <c r="F14" s="5" t="s">
        <v>101</v>
      </c>
      <c r="G14" s="5" t="s">
        <v>104</v>
      </c>
      <c r="H14" s="6" t="s">
        <v>105</v>
      </c>
      <c r="I14" s="5" t="s">
        <v>106</v>
      </c>
      <c r="J14" s="5" t="s">
        <v>20</v>
      </c>
      <c r="K14" s="7" t="n">
        <v>0.727</v>
      </c>
      <c r="L14" s="7" t="n">
        <f aca="false">K14*B14</f>
        <v>0.727</v>
      </c>
      <c r="M14" s="5" t="s">
        <v>107</v>
      </c>
    </row>
    <row r="15" customFormat="false" ht="22.7" hidden="false" customHeight="true" outlineLevel="0" collapsed="false">
      <c r="B15" s="10" t="n">
        <v>1</v>
      </c>
      <c r="C15" s="11" t="s">
        <v>108</v>
      </c>
      <c r="D15" s="12" t="s">
        <v>109</v>
      </c>
      <c r="E15" s="12" t="s">
        <v>109</v>
      </c>
      <c r="F15" s="13"/>
      <c r="G15" s="11" t="s">
        <v>110</v>
      </c>
      <c r="H15" s="13" t="s">
        <v>111</v>
      </c>
      <c r="I15" s="13"/>
      <c r="J15" s="13"/>
      <c r="K15" s="14" t="n">
        <f aca="false">SUM(K2:K14)</f>
        <v>14.3236</v>
      </c>
      <c r="L15" s="14" t="n">
        <f aca="false">SUM(L2:L14)</f>
        <v>14.6122</v>
      </c>
      <c r="M15" s="15"/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2026-05-18T06:28:42Z</dcterms:created>
  <dc:creator>jlceda</dc:creator>
  <dc:description/>
  <dc:language>es-ES</dc:language>
  <cp:lastModifiedBy/>
  <dcterms:modified xsi:type="dcterms:W3CDTF">2026-05-28T10:48:34Z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